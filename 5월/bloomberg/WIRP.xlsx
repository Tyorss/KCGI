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이금남\"/>
    </mc:Choice>
  </mc:AlternateContent>
  <bookViews>
    <workbookView xWindow="10395" yWindow="-105" windowWidth="14850" windowHeight="12735"/>
  </bookViews>
  <sheets>
    <sheet name="Data" sheetId="2" r:id="rId1"/>
    <sheet name="Tickers" sheetId="3" r:id="rId2"/>
  </sheets>
  <calcPr calcId="162913"/>
</workbook>
</file>

<file path=xl/calcChain.xml><?xml version="1.0" encoding="utf-8"?>
<calcChain xmlns="http://schemas.openxmlformats.org/spreadsheetml/2006/main">
  <c r="C17" i="2" l="1"/>
  <c r="B16" i="2"/>
  <c r="B17" i="2"/>
  <c r="D13" i="2"/>
  <c r="C10" i="2"/>
  <c r="B11" i="2"/>
  <c r="E10" i="2"/>
  <c r="E15" i="2"/>
  <c r="D17" i="2"/>
  <c r="E17" i="2"/>
  <c r="E12" i="2"/>
  <c r="C7" i="2"/>
  <c r="B10" i="2"/>
  <c r="D7" i="2"/>
  <c r="B14" i="2"/>
  <c r="B8" i="2"/>
  <c r="E7" i="2"/>
  <c r="D8" i="2"/>
  <c r="B12" i="2"/>
  <c r="E14" i="2"/>
  <c r="B9" i="2"/>
  <c r="D14" i="2"/>
  <c r="B15" i="2"/>
  <c r="E16" i="2"/>
  <c r="E9" i="2"/>
  <c r="C8" i="2"/>
  <c r="C14" i="2"/>
  <c r="B7" i="2"/>
  <c r="D10" i="2"/>
  <c r="C13" i="2"/>
  <c r="D12" i="2"/>
  <c r="D15" i="2"/>
  <c r="E13" i="2"/>
  <c r="C9" i="2"/>
  <c r="C15" i="2"/>
  <c r="B13" i="2"/>
  <c r="C12" i="2"/>
  <c r="E8" i="2"/>
  <c r="B4" i="3"/>
  <c r="B4" i="2"/>
  <c r="B5" i="3"/>
  <c r="B5" i="2"/>
  <c r="E11" i="2"/>
  <c r="C16" i="2"/>
  <c r="D9" i="2"/>
  <c r="D11" i="2"/>
  <c r="B3" i="3"/>
  <c r="B3" i="2"/>
  <c r="C11" i="2"/>
  <c r="D16" i="2"/>
</calcChain>
</file>

<file path=xl/sharedStrings.xml><?xml version="1.0" encoding="utf-8"?>
<sst xmlns="http://schemas.openxmlformats.org/spreadsheetml/2006/main" count="92" uniqueCount="68">
  <si>
    <t>Pricing Date</t>
  </si>
  <si>
    <t>2026-06-01</t>
  </si>
  <si>
    <t>Region: United States</t>
  </si>
  <si>
    <t>Instrument: Fed Funds Futures</t>
  </si>
  <si>
    <t>Target Rate</t>
  </si>
  <si>
    <t>Effective Rate</t>
  </si>
  <si>
    <t>Cur. Imp. O/N Rate</t>
  </si>
  <si>
    <t>Meeting</t>
  </si>
  <si>
    <t>#Hikes/Cuts</t>
  </si>
  <si>
    <t>%Hike/Cut</t>
  </si>
  <si>
    <t>Imp. Rate ∆</t>
  </si>
  <si>
    <t>Implied Rate</t>
  </si>
  <si>
    <t>A.R.M.</t>
  </si>
  <si>
    <t>06/17/2026</t>
  </si>
  <si>
    <t>07/29/2026</t>
  </si>
  <si>
    <t>09/16/2026</t>
  </si>
  <si>
    <t>10/28/2026</t>
  </si>
  <si>
    <t>12/09/2026</t>
  </si>
  <si>
    <t>01/27/2027</t>
  </si>
  <si>
    <t>03/17/2027</t>
  </si>
  <si>
    <t>04/28/2027</t>
  </si>
  <si>
    <t>06/09/2027</t>
  </si>
  <si>
    <t>07/28/2027</t>
  </si>
  <si>
    <t>09/15/2027</t>
  </si>
  <si>
    <t>US0ANM JUN2026 Index</t>
  </si>
  <si>
    <t>US0APR JUN2026 Index</t>
  </si>
  <si>
    <t>US0ACH JUN2026 Index</t>
  </si>
  <si>
    <t>US0AFR JUN2026 Index</t>
  </si>
  <si>
    <t>US0ANM JUL2026 Index</t>
  </si>
  <si>
    <t>US0APR JUL2026 Index</t>
  </si>
  <si>
    <t>US0ACH JUL2026 Index</t>
  </si>
  <si>
    <t>US0AFR JUL2026 Index</t>
  </si>
  <si>
    <t>US0ANM SEP2026 Index</t>
  </si>
  <si>
    <t>US0APR SEP2026 Index</t>
  </si>
  <si>
    <t>US0ACH SEP2026 Index</t>
  </si>
  <si>
    <t>US0AFR SEP2026 Index</t>
  </si>
  <si>
    <t>US0ANM OCT2026 Index</t>
  </si>
  <si>
    <t>US0APR OCT2026 Index</t>
  </si>
  <si>
    <t>US0ACH OCT2026 Index</t>
  </si>
  <si>
    <t>US0AFR OCT2026 Index</t>
  </si>
  <si>
    <t>US0ANM DEC2026 Index</t>
  </si>
  <si>
    <t>US0APR DEC2026 Index</t>
  </si>
  <si>
    <t>US0ACH DEC2026 Index</t>
  </si>
  <si>
    <t>US0AFR DEC2026 Index</t>
  </si>
  <si>
    <t>US0ANM JAN2027 Index</t>
  </si>
  <si>
    <t>US0APR JAN2027 Index</t>
  </si>
  <si>
    <t>US0ACH JAN2027 Index</t>
  </si>
  <si>
    <t>US0AFR JAN2027 Index</t>
  </si>
  <si>
    <t>US0ANM MAR2027 Index</t>
  </si>
  <si>
    <t>US0APR MAR2027 Index</t>
  </si>
  <si>
    <t>US0ACH MAR2027 Index</t>
  </si>
  <si>
    <t>US0AFR MAR2027 Index</t>
  </si>
  <si>
    <t>US0ANM APR2027 Index</t>
  </si>
  <si>
    <t>US0APR APR2027 Index</t>
  </si>
  <si>
    <t>US0ACH APR2027 Index</t>
  </si>
  <si>
    <t>US0AFR APR2027 Index</t>
  </si>
  <si>
    <t>US0ANM JUN2027 Index</t>
  </si>
  <si>
    <t>US0APR JUN2027 Index</t>
  </si>
  <si>
    <t>US0ACH JUN2027 Index</t>
  </si>
  <si>
    <t>US0AFR JUN2027 Index</t>
  </si>
  <si>
    <t>US0ANM JUL2027 Index</t>
  </si>
  <si>
    <t>US0APR JUL2027 Index</t>
  </si>
  <si>
    <t>US0ACH JUL2027 Index</t>
  </si>
  <si>
    <t>US0AFR JUL2027 Index</t>
  </si>
  <si>
    <t>US0ANM SEP2027 Index</t>
  </si>
  <si>
    <t>US0APR SEP2027 Index</t>
  </si>
  <si>
    <t>US0ACH SEP2027 Index</t>
  </si>
  <si>
    <t>US0AFR SEP2027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</si>
</sst>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3.62</v>
        <stp/>
        <stp>BDP|10052995879188140168|22</stp>
        <stp>FEDL01 Index</stp>
        <stp>RQ005</stp>
        <tr r="B4" s="2"/>
        <tr r="B4" s="3"/>
      </tp>
      <tp>
        <v>3.6179999999999999</v>
        <stp/>
        <stp>BDP|14881001047226489510|22</stp>
        <stp>US0ACR Index</stp>
        <stp>RQ005</stp>
        <tr r="B5" s="2"/>
        <tr r="B5" s="3"/>
      </tp>
    </main>
    <main first="bofaddin.rtdserver">
      <tp>
        <v>1.129</v>
        <stp/>
        <stp>BDP|232008924896836415|22</stp>
        <stp>US0ANM JUL2027 Index</stp>
        <stp>RQ005</stp>
        <tr r="B16" s="2"/>
      </tp>
      <tp>
        <v>5.4</v>
        <stp/>
        <stp>BDP|472308173138210381|22</stp>
        <stp>US0APR JUN2026 Index</stp>
        <stp>RQ005</stp>
        <tr r="C7" s="2"/>
      </tp>
      <tp>
        <v>6.4</v>
        <stp/>
        <stp>BDP|703757527604584747|22</stp>
        <stp>US0APR JUL2026 Index</stp>
        <stp>RQ005</stp>
        <tr r="C8" s="2"/>
      </tp>
      <tp>
        <v>1.046</v>
        <stp/>
        <stp>BDP|9152975400721022875|22</stp>
        <stp>US0ANM MAR2027 Index</stp>
        <stp>RQ005</stp>
        <tr r="B13" s="2"/>
      </tp>
      <tp>
        <v>0.20699999999999999</v>
        <stp/>
        <stp>BDP|6253858237165683213|22</stp>
        <stp>US0ACH JAN2027 Index</stp>
        <stp>RQ005</stp>
        <tr r="D12" s="2"/>
      </tp>
      <tp>
        <v>12</v>
        <stp/>
        <stp>BDP|3362630858129241885|22</stp>
        <stp>US0APR JAN2027 Index</stp>
        <stp>RQ005</stp>
        <tr r="C12" s="2"/>
      </tp>
      <tp>
        <v>21.8</v>
        <stp/>
        <stp>BDP|4138232855110640876|22</stp>
        <stp>US0APR MAR2027 Index</stp>
        <stp>RQ005</stp>
        <tr r="C13" s="2"/>
      </tp>
      <tp>
        <v>0</v>
        <stp/>
        <stp>BDP|3672794145618365697|22</stp>
        <stp>US0APR JUL2027 Index</stp>
        <stp>RQ005</stp>
        <tr r="C16" s="2"/>
      </tp>
      <tp>
        <v>3.7949999999999999</v>
        <stp/>
        <stp>BDP|1813360066867133360|22</stp>
        <stp>US0AFR DEC2026 Index</stp>
        <stp>RQ005</stp>
        <tr r="E11" s="2"/>
      </tp>
      <tp>
        <v>0.17699999999999999</v>
        <stp/>
        <stp>BDP|8182305488723123455|22</stp>
        <stp>US0ACH DEC2026 Index</stp>
        <stp>RQ005</stp>
        <tr r="D11" s="2"/>
      </tp>
      <tp>
        <v>0</v>
        <stp/>
        <stp>BDP|3745150911049348243|22</stp>
        <stp>US0APR JUN2027 Index</stp>
        <stp>RQ005</stp>
        <tr r="C15" s="2"/>
      </tp>
      <tp>
        <v>1.4E-2</v>
        <stp/>
        <stp>BDP|6473103841219320975|22</stp>
        <stp>US0ACH JUN2026 Index</stp>
        <stp>RQ005</stp>
        <tr r="D7" s="2"/>
      </tp>
      <tp>
        <v>0.03</v>
        <stp/>
        <stp>BDP|3626790493970223089|22</stp>
        <stp>US0ACH JUL2026 Index</stp>
        <stp>RQ005</stp>
        <tr r="D8" s="2"/>
      </tp>
      <tp>
        <v>0.28199999999999997</v>
        <stp/>
        <stp>BDP|1015607848631461289|22</stp>
        <stp>US0ACH JUN2027 Index</stp>
        <stp>RQ005</stp>
        <tr r="D15" s="2"/>
      </tp>
      <tp>
        <v>0.28199999999999997</v>
        <stp/>
        <stp>BDP|9079770118647523954|22</stp>
        <stp>US0ACH APR2027 Index</stp>
        <stp>RQ005</stp>
        <tr r="D14" s="2"/>
      </tp>
      <tp>
        <v>29</v>
        <stp/>
        <stp>BDP|8448369111883755466|22</stp>
        <stp>US0APR DEC2026 Index</stp>
        <stp>RQ005</stp>
        <tr r="C11" s="2"/>
      </tp>
      <tp>
        <v>0.187</v>
        <stp/>
        <stp>BDP|1645977737133070198|22</stp>
        <stp>US0ACH SEP2027 Index</stp>
        <stp>RQ005</stp>
        <tr r="D17" s="2"/>
      </tp>
      <tp>
        <v>20.2</v>
        <stp/>
        <stp>BDP|2131684348629380490|22</stp>
        <stp>US0APR SEP2026 Index</stp>
        <stp>RQ005</stp>
        <tr r="C9" s="2"/>
      </tp>
      <tp>
        <v>3.8050000000000002</v>
        <stp/>
        <stp>BDP|4307518861655968269|22</stp>
        <stp>US0AFR SEP2027 Index</stp>
        <stp>RQ005</stp>
        <tr r="E17" s="2"/>
      </tp>
      <tp>
        <v>3.75</v>
        <stp/>
        <stp>BDP|11974296781706601080|22</stp>
        <stp>FDTR Index</stp>
        <stp>RQ005</stp>
        <tr r="B3" s="2"/>
        <tr r="B3" s="3"/>
      </tp>
      <tp>
        <v>-38</v>
        <stp/>
        <stp>BDP|14732029639616133864|22</stp>
        <stp>US0APR SEP2027 Index</stp>
        <stp>RQ005</stp>
        <tr r="C17" s="2"/>
      </tp>
      <tp>
        <v>0.749</v>
        <stp/>
        <stp>BDP|15267000746194792304|22</stp>
        <stp>US0ANM SEP2027 Index</stp>
        <stp>RQ005</stp>
        <tr r="B17" s="2"/>
      </tp>
      <tp>
        <v>3.698</v>
        <stp/>
        <stp>BDP|12674523325861688683|22</stp>
        <stp>US0AFR SEP2026 Index</stp>
        <stp>RQ005</stp>
        <tr r="E9" s="2"/>
      </tp>
      <tp>
        <v>0.32</v>
        <stp/>
        <stp>BDP|10714073509731811207|22</stp>
        <stp>US0ANM SEP2026 Index</stp>
        <stp>RQ005</stp>
        <tr r="B9" s="2"/>
      </tp>
      <tp>
        <v>0.08</v>
        <stp/>
        <stp>BDP|10318118351827026982|22</stp>
        <stp>US0ACH SEP2026 Index</stp>
        <stp>RQ005</stp>
        <tr r="D9" s="2"/>
      </tp>
      <tp>
        <v>8.1999999999999993</v>
        <stp/>
        <stp>BDP|18254406861873417556|22</stp>
        <stp>US0APR APR2027 Index</stp>
        <stp>RQ005</stp>
        <tr r="C14" s="2"/>
      </tp>
      <tp>
        <v>0.82899999999999996</v>
        <stp/>
        <stp>BDP|13806126309417540291|22</stp>
        <stp>US0ANM JAN2027 Index</stp>
        <stp>RQ005</stp>
        <tr r="B12" s="2"/>
      </tp>
      <tp>
        <v>5.3999999999999999E-2</v>
        <stp/>
        <stp>BDP|13938862174222979783|22</stp>
        <stp>US0ANM JUN2026 Index</stp>
        <stp>RQ005</stp>
        <tr r="B7" s="2"/>
      </tp>
      <tp>
        <v>9.8000000000000007</v>
        <stp/>
        <stp>BDP|16179522263491705671|22</stp>
        <stp>US0APR OCT2026 Index</stp>
        <stp>RQ005</stp>
        <tr r="C10" s="2"/>
      </tp>
      <tp>
        <v>0.11899999999999999</v>
        <stp/>
        <stp>BDP|16243004533490515047|22</stp>
        <stp>US0ANM JUL2026 Index</stp>
        <stp>RQ005</stp>
        <tr r="B8" s="2"/>
      </tp>
      <tp>
        <v>0.41899999999999998</v>
        <stp/>
        <stp>BDP|17513101853595078484|22</stp>
        <stp>US0ANM OCT2026 Index</stp>
        <stp>RQ005</stp>
        <tr r="B10" s="2"/>
      </tp>
      <tp>
        <v>0.70799999999999996</v>
        <stp/>
        <stp>BDP|13472069873518671431|22</stp>
        <stp>US0ANM DEC2026 Index</stp>
        <stp>RQ005</stp>
        <tr r="B11" s="2"/>
      </tp>
      <tp>
        <v>3.9</v>
        <stp/>
        <stp>BDP|13107915146978610195|22</stp>
        <stp>US0AFR APR2027 Index</stp>
        <stp>RQ005</stp>
        <tr r="E14" s="2"/>
      </tp>
      <tp>
        <v>0.26200000000000001</v>
        <stp/>
        <stp>BDP|16310891848123826135|22</stp>
        <stp>US0ACH MAR2027 Index</stp>
        <stp>RQ005</stp>
        <tr r="D13" s="2"/>
      </tp>
      <tp>
        <v>3.8250000000000002</v>
        <stp/>
        <stp>BDP|12022544200922511580|22</stp>
        <stp>US0AFR JAN2027 Index</stp>
        <stp>RQ005</stp>
        <tr r="E12" s="2"/>
      </tp>
      <tp>
        <v>3.9</v>
        <stp/>
        <stp>BDP|16245935437860037747|22</stp>
        <stp>US0AFR JUN2027 Index</stp>
        <stp>RQ005</stp>
        <tr r="E15" s="2"/>
      </tp>
      <tp>
        <v>0.105</v>
        <stp/>
        <stp>BDP|11232007887326491660|22</stp>
        <stp>US0ACH OCT2026 Index</stp>
        <stp>RQ005</stp>
        <tr r="D10" s="2"/>
      </tp>
      <tp>
        <v>1.129</v>
        <stp/>
        <stp>BDP|18216747287790252684|22</stp>
        <stp>US0ANM APR2027 Index</stp>
        <stp>RQ005</stp>
        <tr r="B14" s="2"/>
      </tp>
      <tp>
        <v>3.6309999999999998</v>
        <stp/>
        <stp>BDP|13320828874524960621|22</stp>
        <stp>US0AFR JUN2026 Index</stp>
        <stp>RQ005</stp>
        <tr r="E7" s="2"/>
      </tp>
      <tp>
        <v>3.6480000000000001</v>
        <stp/>
        <stp>BDP|16727581079677083135|22</stp>
        <stp>US0AFR JUL2026 Index</stp>
        <stp>RQ005</stp>
        <tr r="E8" s="2"/>
      </tp>
      <tp>
        <v>1.129</v>
        <stp/>
        <stp>BDP|15116282968817246547|22</stp>
        <stp>US0ANM JUN2027 Index</stp>
        <stp>RQ005</stp>
        <tr r="B15" s="2"/>
      </tp>
      <tp>
        <v>3.722</v>
        <stp/>
        <stp>BDP|12093447308225558405|22</stp>
        <stp>US0AFR OCT2026 Index</stp>
        <stp>RQ005</stp>
        <tr r="E10" s="2"/>
      </tp>
      <tp>
        <v>3.879</v>
        <stp/>
        <stp>BDP|16247760900992314212|22</stp>
        <stp>US0AFR MAR2027 Index</stp>
        <stp>RQ005</stp>
        <tr r="E13" s="2"/>
      </tp>
      <tp>
        <v>0.28199999999999997</v>
        <stp/>
        <stp>BDP|10732544928663783000|22</stp>
        <stp>US0ACH JUL2027 Index</stp>
        <stp>RQ005</stp>
        <tr r="D16" s="2"/>
      </tp>
      <tp>
        <v>3.9</v>
        <stp/>
        <stp>BDP|10242859743561450164|22</stp>
        <stp>US0AFR JUL2027 Index</stp>
        <stp>RQ005</stp>
        <tr r="E16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A11" sqref="A11"/>
    </sheetView>
  </sheetViews>
  <sheetFormatPr defaultRowHeight="16.5" x14ac:dyDescent="0.3"/>
  <cols>
    <col min="1" max="1" width="38" customWidth="1"/>
    <col min="2" max="6" width="19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>
        <f>_xll.BDP("FDTR Index", "RQ005")</f>
        <v>3.75</v>
      </c>
    </row>
    <row r="4" spans="1:6" x14ac:dyDescent="0.3">
      <c r="A4" t="s">
        <v>5</v>
      </c>
      <c r="B4">
        <f>_xll.BDP("FEDL01 Index", "RQ005")</f>
        <v>3.62</v>
      </c>
    </row>
    <row r="5" spans="1:6" x14ac:dyDescent="0.3">
      <c r="A5" t="s">
        <v>6</v>
      </c>
      <c r="B5">
        <f>_xll.BDP("US0ACR Index", "RQ005")</f>
        <v>3.6179999999999999</v>
      </c>
    </row>
    <row r="6" spans="1:6" x14ac:dyDescent="0.3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 x14ac:dyDescent="0.3">
      <c r="A7" t="s">
        <v>13</v>
      </c>
      <c r="B7">
        <f>_xll.BDP("US0ANM JUN2026 Index","RQ005")</f>
        <v>5.3999999999999999E-2</v>
      </c>
      <c r="C7">
        <f>_xll.BDP("US0APR JUN2026 Index","RQ005")</f>
        <v>5.4</v>
      </c>
      <c r="D7">
        <f>_xll.BDP("US0ACH JUN2026 Index","RQ005")</f>
        <v>1.4E-2</v>
      </c>
      <c r="E7">
        <f>_xll.BDP("US0AFR JUN2026 Index","RQ005")</f>
        <v>3.6309999999999998</v>
      </c>
      <c r="F7">
        <v>0.25</v>
      </c>
    </row>
    <row r="8" spans="1:6" x14ac:dyDescent="0.3">
      <c r="A8" t="s">
        <v>14</v>
      </c>
      <c r="B8">
        <f>_xll.BDP("US0ANM JUL2026 Index","RQ005")</f>
        <v>0.11899999999999999</v>
      </c>
      <c r="C8">
        <f>_xll.BDP("US0APR JUL2026 Index","RQ005")</f>
        <v>6.4</v>
      </c>
      <c r="D8">
        <f>_xll.BDP("US0ACH JUL2026 Index","RQ005")</f>
        <v>0.03</v>
      </c>
      <c r="E8">
        <f>_xll.BDP("US0AFR JUL2026 Index","RQ005")</f>
        <v>3.6480000000000001</v>
      </c>
      <c r="F8">
        <v>0.25</v>
      </c>
    </row>
    <row r="9" spans="1:6" x14ac:dyDescent="0.3">
      <c r="A9" t="s">
        <v>15</v>
      </c>
      <c r="B9">
        <f>_xll.BDP("US0ANM SEP2026 Index","RQ005")</f>
        <v>0.32</v>
      </c>
      <c r="C9">
        <f>_xll.BDP("US0APR SEP2026 Index","RQ005")</f>
        <v>20.2</v>
      </c>
      <c r="D9">
        <f>_xll.BDP("US0ACH SEP2026 Index","RQ005")</f>
        <v>0.08</v>
      </c>
      <c r="E9">
        <f>_xll.BDP("US0AFR SEP2026 Index","RQ005")</f>
        <v>3.698</v>
      </c>
      <c r="F9">
        <v>0.25</v>
      </c>
    </row>
    <row r="10" spans="1:6" x14ac:dyDescent="0.3">
      <c r="A10" t="s">
        <v>16</v>
      </c>
      <c r="B10">
        <f>_xll.BDP("US0ANM OCT2026 Index","RQ005")</f>
        <v>0.41899999999999998</v>
      </c>
      <c r="C10">
        <f>_xll.BDP("US0APR OCT2026 Index","RQ005")</f>
        <v>9.8000000000000007</v>
      </c>
      <c r="D10">
        <f>_xll.BDP("US0ACH OCT2026 Index","RQ005")</f>
        <v>0.105</v>
      </c>
      <c r="E10">
        <f>_xll.BDP("US0AFR OCT2026 Index","RQ005")</f>
        <v>3.722</v>
      </c>
      <c r="F10">
        <v>0.25</v>
      </c>
    </row>
    <row r="11" spans="1:6" x14ac:dyDescent="0.3">
      <c r="A11" t="s">
        <v>17</v>
      </c>
      <c r="B11">
        <f>_xll.BDP("US0ANM DEC2026 Index","RQ005")</f>
        <v>0.70799999999999996</v>
      </c>
      <c r="C11">
        <f>_xll.BDP("US0APR DEC2026 Index","RQ005")</f>
        <v>29</v>
      </c>
      <c r="D11">
        <f>_xll.BDP("US0ACH DEC2026 Index","RQ005")</f>
        <v>0.17699999999999999</v>
      </c>
      <c r="E11">
        <f>_xll.BDP("US0AFR DEC2026 Index","RQ005")</f>
        <v>3.7949999999999999</v>
      </c>
      <c r="F11">
        <v>0.25</v>
      </c>
    </row>
    <row r="12" spans="1:6" x14ac:dyDescent="0.3">
      <c r="A12" t="s">
        <v>18</v>
      </c>
      <c r="B12">
        <f>_xll.BDP("US0ANM JAN2027 Index","RQ005")</f>
        <v>0.82899999999999996</v>
      </c>
      <c r="C12">
        <f>_xll.BDP("US0APR JAN2027 Index","RQ005")</f>
        <v>12</v>
      </c>
      <c r="D12">
        <f>_xll.BDP("US0ACH JAN2027 Index","RQ005")</f>
        <v>0.20699999999999999</v>
      </c>
      <c r="E12">
        <f>_xll.BDP("US0AFR JAN2027 Index","RQ005")</f>
        <v>3.8250000000000002</v>
      </c>
      <c r="F12">
        <v>0.25</v>
      </c>
    </row>
    <row r="13" spans="1:6" x14ac:dyDescent="0.3">
      <c r="A13" t="s">
        <v>19</v>
      </c>
      <c r="B13">
        <f>_xll.BDP("US0ANM MAR2027 Index","RQ005")</f>
        <v>1.046</v>
      </c>
      <c r="C13">
        <f>_xll.BDP("US0APR MAR2027 Index","RQ005")</f>
        <v>21.8</v>
      </c>
      <c r="D13">
        <f>_xll.BDP("US0ACH MAR2027 Index","RQ005")</f>
        <v>0.26200000000000001</v>
      </c>
      <c r="E13">
        <f>_xll.BDP("US0AFR MAR2027 Index","RQ005")</f>
        <v>3.879</v>
      </c>
      <c r="F13">
        <v>0.25</v>
      </c>
    </row>
    <row r="14" spans="1:6" x14ac:dyDescent="0.3">
      <c r="A14" t="s">
        <v>20</v>
      </c>
      <c r="B14">
        <f>_xll.BDP("US0ANM APR2027 Index","RQ005")</f>
        <v>1.129</v>
      </c>
      <c r="C14">
        <f>_xll.BDP("US0APR APR2027 Index","RQ005")</f>
        <v>8.1999999999999993</v>
      </c>
      <c r="D14">
        <f>_xll.BDP("US0ACH APR2027 Index","RQ005")</f>
        <v>0.28199999999999997</v>
      </c>
      <c r="E14">
        <f>_xll.BDP("US0AFR APR2027 Index","RQ005")</f>
        <v>3.9</v>
      </c>
      <c r="F14">
        <v>0.25</v>
      </c>
    </row>
    <row r="15" spans="1:6" x14ac:dyDescent="0.3">
      <c r="A15" t="s">
        <v>21</v>
      </c>
      <c r="B15">
        <f>_xll.BDP("US0ANM JUN2027 Index","RQ005")</f>
        <v>1.129</v>
      </c>
      <c r="C15">
        <f>_xll.BDP("US0APR JUN2027 Index","RQ005")</f>
        <v>0</v>
      </c>
      <c r="D15">
        <f>_xll.BDP("US0ACH JUN2027 Index","RQ005")</f>
        <v>0.28199999999999997</v>
      </c>
      <c r="E15">
        <f>_xll.BDP("US0AFR JUN2027 Index","RQ005")</f>
        <v>3.9</v>
      </c>
      <c r="F15">
        <v>0.25</v>
      </c>
    </row>
    <row r="16" spans="1:6" x14ac:dyDescent="0.3">
      <c r="A16" t="s">
        <v>22</v>
      </c>
      <c r="B16">
        <f>_xll.BDP("US0ANM JUL2027 Index","RQ005")</f>
        <v>1.129</v>
      </c>
      <c r="C16">
        <f>_xll.BDP("US0APR JUL2027 Index","RQ005")</f>
        <v>0</v>
      </c>
      <c r="D16">
        <f>_xll.BDP("US0ACH JUL2027 Index","RQ005")</f>
        <v>0.28199999999999997</v>
      </c>
      <c r="E16">
        <f>_xll.BDP("US0AFR JUL2027 Index","RQ005")</f>
        <v>3.9</v>
      </c>
      <c r="F16">
        <v>0.25</v>
      </c>
    </row>
    <row r="17" spans="1:6" x14ac:dyDescent="0.3">
      <c r="A17" t="s">
        <v>23</v>
      </c>
      <c r="B17">
        <f>_xll.BDP("US0ANM SEP2027 Index","RQ005")</f>
        <v>0.749</v>
      </c>
      <c r="C17">
        <f>_xll.BDP("US0APR SEP2027 Index","RQ005")</f>
        <v>-38</v>
      </c>
      <c r="D17">
        <f>_xll.BDP("US0ACH SEP2027 Index","RQ005")</f>
        <v>0.187</v>
      </c>
      <c r="E17">
        <f>_xll.BDP("US0AFR SEP2027 Index","RQ005")</f>
        <v>3.8050000000000002</v>
      </c>
      <c r="F17">
        <v>0.25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6.5" x14ac:dyDescent="0.3"/>
  <cols>
    <col min="1" max="1" width="38" customWidth="1"/>
    <col min="2" max="6" width="19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>
        <f>_xll.BDP("FDTR Index", "RQ005")</f>
        <v>3.75</v>
      </c>
    </row>
    <row r="4" spans="1:6" x14ac:dyDescent="0.3">
      <c r="A4" t="s">
        <v>5</v>
      </c>
      <c r="B4">
        <f>_xll.BDP("FEDL01 Index", "RQ005")</f>
        <v>3.62</v>
      </c>
    </row>
    <row r="5" spans="1:6" x14ac:dyDescent="0.3">
      <c r="A5" t="s">
        <v>6</v>
      </c>
      <c r="B5">
        <f>_xll.BDP("US0ACR Index", "RQ005")</f>
        <v>3.6179999999999999</v>
      </c>
    </row>
    <row r="6" spans="1:6" x14ac:dyDescent="0.3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 x14ac:dyDescent="0.3">
      <c r="A7" t="s">
        <v>13</v>
      </c>
      <c r="B7" t="s">
        <v>24</v>
      </c>
      <c r="C7" t="s">
        <v>25</v>
      </c>
      <c r="D7" t="s">
        <v>26</v>
      </c>
      <c r="E7" t="s">
        <v>27</v>
      </c>
      <c r="F7">
        <v>0.25</v>
      </c>
    </row>
    <row r="8" spans="1:6" x14ac:dyDescent="0.3">
      <c r="A8" t="s">
        <v>14</v>
      </c>
      <c r="B8" t="s">
        <v>28</v>
      </c>
      <c r="C8" t="s">
        <v>29</v>
      </c>
      <c r="D8" t="s">
        <v>30</v>
      </c>
      <c r="E8" t="s">
        <v>31</v>
      </c>
      <c r="F8">
        <v>0.25</v>
      </c>
    </row>
    <row r="9" spans="1:6" x14ac:dyDescent="0.3">
      <c r="A9" t="s">
        <v>15</v>
      </c>
      <c r="B9" t="s">
        <v>32</v>
      </c>
      <c r="C9" t="s">
        <v>33</v>
      </c>
      <c r="D9" t="s">
        <v>34</v>
      </c>
      <c r="E9" t="s">
        <v>35</v>
      </c>
      <c r="F9">
        <v>0.25</v>
      </c>
    </row>
    <row r="10" spans="1:6" x14ac:dyDescent="0.3">
      <c r="A10" t="s">
        <v>16</v>
      </c>
      <c r="B10" t="s">
        <v>36</v>
      </c>
      <c r="C10" t="s">
        <v>37</v>
      </c>
      <c r="D10" t="s">
        <v>38</v>
      </c>
      <c r="E10" t="s">
        <v>39</v>
      </c>
      <c r="F10">
        <v>0.25</v>
      </c>
    </row>
    <row r="11" spans="1:6" x14ac:dyDescent="0.3">
      <c r="A11" t="s">
        <v>17</v>
      </c>
      <c r="B11" t="s">
        <v>40</v>
      </c>
      <c r="C11" t="s">
        <v>41</v>
      </c>
      <c r="D11" t="s">
        <v>42</v>
      </c>
      <c r="E11" t="s">
        <v>43</v>
      </c>
      <c r="F11">
        <v>0.25</v>
      </c>
    </row>
    <row r="12" spans="1:6" x14ac:dyDescent="0.3">
      <c r="A12" t="s">
        <v>18</v>
      </c>
      <c r="B12" t="s">
        <v>44</v>
      </c>
      <c r="C12" t="s">
        <v>45</v>
      </c>
      <c r="D12" t="s">
        <v>46</v>
      </c>
      <c r="E12" t="s">
        <v>47</v>
      </c>
      <c r="F12">
        <v>0.25</v>
      </c>
    </row>
    <row r="13" spans="1:6" x14ac:dyDescent="0.3">
      <c r="A13" t="s">
        <v>19</v>
      </c>
      <c r="B13" t="s">
        <v>48</v>
      </c>
      <c r="C13" t="s">
        <v>49</v>
      </c>
      <c r="D13" t="s">
        <v>50</v>
      </c>
      <c r="E13" t="s">
        <v>51</v>
      </c>
      <c r="F13">
        <v>0.25</v>
      </c>
    </row>
    <row r="14" spans="1:6" x14ac:dyDescent="0.3">
      <c r="A14" t="s">
        <v>20</v>
      </c>
      <c r="B14" t="s">
        <v>52</v>
      </c>
      <c r="C14" t="s">
        <v>53</v>
      </c>
      <c r="D14" t="s">
        <v>54</v>
      </c>
      <c r="E14" t="s">
        <v>55</v>
      </c>
      <c r="F14">
        <v>0.25</v>
      </c>
    </row>
    <row r="15" spans="1:6" x14ac:dyDescent="0.3">
      <c r="A15" t="s">
        <v>21</v>
      </c>
      <c r="B15" t="s">
        <v>56</v>
      </c>
      <c r="C15" t="s">
        <v>57</v>
      </c>
      <c r="D15" t="s">
        <v>58</v>
      </c>
      <c r="E15" t="s">
        <v>59</v>
      </c>
      <c r="F15">
        <v>0.25</v>
      </c>
    </row>
    <row r="16" spans="1:6" x14ac:dyDescent="0.3">
      <c r="A16" t="s">
        <v>22</v>
      </c>
      <c r="B16" t="s">
        <v>60</v>
      </c>
      <c r="C16" t="s">
        <v>61</v>
      </c>
      <c r="D16" t="s">
        <v>62</v>
      </c>
      <c r="E16" t="s">
        <v>63</v>
      </c>
      <c r="F16">
        <v>0.25</v>
      </c>
    </row>
    <row r="17" spans="1:6" x14ac:dyDescent="0.3">
      <c r="A17" t="s">
        <v>23</v>
      </c>
      <c r="B17" t="s">
        <v>64</v>
      </c>
      <c r="C17" t="s">
        <v>65</v>
      </c>
      <c r="D17" t="s">
        <v>66</v>
      </c>
      <c r="E17" t="s">
        <v>67</v>
      </c>
      <c r="F17">
        <v>0.25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2026-06-01T00:39:58Z</dcterms:modified>
</cp:coreProperties>
</file>