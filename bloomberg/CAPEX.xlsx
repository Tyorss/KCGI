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이금남\"/>
    </mc:Choice>
  </mc:AlternateContent>
  <bookViews>
    <workbookView xWindow="0" yWindow="0" windowWidth="21570" windowHeight="79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  <c r="N1" i="1"/>
  <c r="J1" i="1"/>
  <c r="F1" i="1"/>
</calcChain>
</file>

<file path=xl/sharedStrings.xml><?xml version="1.0" encoding="utf-8"?>
<sst xmlns="http://schemas.openxmlformats.org/spreadsheetml/2006/main" count="12" uniqueCount="6">
  <si>
    <t>DATES</t>
  </si>
  <si>
    <t>CAPITAL_EXPEND(FPT=A,FPR=range(2015,2030),AE=AE)</t>
  </si>
  <si>
    <t>MSFT US Equity</t>
    <phoneticPr fontId="1" type="noConversion"/>
  </si>
  <si>
    <t>AMZN US Equity</t>
  </si>
  <si>
    <t>GOOGL US Equity</t>
  </si>
  <si>
    <t>META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</si>
</sst>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tabSelected="1" workbookViewId="0">
      <selection activeCell="O1" sqref="O1"/>
    </sheetView>
  </sheetViews>
  <sheetFormatPr defaultRowHeight="16.5" x14ac:dyDescent="0.3"/>
  <cols>
    <col min="1" max="1" width="19" customWidth="1"/>
    <col min="2" max="2" width="53.25" bestFit="1" customWidth="1"/>
    <col min="6" max="6" width="17.125" customWidth="1"/>
    <col min="7" max="7" width="19.875" customWidth="1"/>
    <col min="10" max="10" width="17.25" customWidth="1"/>
    <col min="11" max="11" width="15.75" customWidth="1"/>
    <col min="14" max="14" width="11.375" customWidth="1"/>
    <col min="15" max="15" width="15.5" customWidth="1"/>
  </cols>
  <sheetData>
    <row r="1" spans="1:15" x14ac:dyDescent="0.3">
      <c r="A1">
        <f>F3</f>
        <v>42369</v>
      </c>
      <c r="B1" t="s">
        <v>2</v>
      </c>
      <c r="F1" t="e">
        <f ca="1">_xll.BQL("AMZN US Equity", "CAPITAL_EXPEND(FPT=A, FPR=range(2015,2030), AE=AE)","cols=2;rows=18")</f>
        <v>#NAME?</v>
      </c>
      <c r="G1" t="s">
        <v>3</v>
      </c>
      <c r="J1" t="e">
        <f ca="1">_xll.BQL("GOOGL US Equity", "CAPITAL_EXPEND(FPT=A, FPR=range(2015,2030), AE=AE)","cols=2;rows=18")</f>
        <v>#NAME?</v>
      </c>
      <c r="K1" t="s">
        <v>4</v>
      </c>
      <c r="N1" t="e">
        <f ca="1">_xll.BQL("META US Equity", "CAPITAL_EXPEND(FPT=A, FPR=range(2015,2030), AE=AE)","cols=2;rows=18")</f>
        <v>#NAME?</v>
      </c>
      <c r="O1" t="s">
        <v>5</v>
      </c>
    </row>
    <row r="2" spans="1:15" x14ac:dyDescent="0.3">
      <c r="A2" t="s">
        <v>0</v>
      </c>
      <c r="B2" t="s">
        <v>1</v>
      </c>
      <c r="F2" t="s">
        <v>0</v>
      </c>
      <c r="G2" t="s">
        <v>1</v>
      </c>
      <c r="J2" t="s">
        <v>0</v>
      </c>
      <c r="K2" t="s">
        <v>1</v>
      </c>
      <c r="N2" t="s">
        <v>0</v>
      </c>
      <c r="O2" t="s">
        <v>1</v>
      </c>
    </row>
    <row r="3" spans="1:15" x14ac:dyDescent="0.3">
      <c r="A3" s="1">
        <v>42185</v>
      </c>
      <c r="B3">
        <v>-5944000000</v>
      </c>
      <c r="F3" s="1">
        <v>42369</v>
      </c>
      <c r="G3">
        <v>-5387000000</v>
      </c>
      <c r="J3" s="1">
        <v>42369</v>
      </c>
      <c r="K3">
        <v>-9950000000</v>
      </c>
      <c r="N3" s="1">
        <v>42369</v>
      </c>
      <c r="O3">
        <v>-2523000000</v>
      </c>
    </row>
    <row r="4" spans="1:15" x14ac:dyDescent="0.3">
      <c r="A4" s="1">
        <v>42551</v>
      </c>
      <c r="B4">
        <v>-8343000000</v>
      </c>
      <c r="F4" s="1">
        <v>42735</v>
      </c>
      <c r="G4">
        <v>-7804000000</v>
      </c>
      <c r="J4" s="1">
        <v>42735</v>
      </c>
      <c r="K4">
        <v>-10212000000</v>
      </c>
      <c r="N4" s="1">
        <v>42735</v>
      </c>
      <c r="O4">
        <v>-4491000000</v>
      </c>
    </row>
    <row r="5" spans="1:15" x14ac:dyDescent="0.3">
      <c r="A5" s="1">
        <v>42916</v>
      </c>
      <c r="B5">
        <v>-8129000000</v>
      </c>
      <c r="F5" s="1">
        <v>43100</v>
      </c>
      <c r="G5">
        <v>-11955000000</v>
      </c>
      <c r="J5" s="1">
        <v>43100</v>
      </c>
      <c r="K5">
        <v>-13184000000</v>
      </c>
      <c r="N5" s="1">
        <v>43100</v>
      </c>
      <c r="O5">
        <v>-6733000000</v>
      </c>
    </row>
    <row r="6" spans="1:15" x14ac:dyDescent="0.3">
      <c r="A6" s="1">
        <v>43281</v>
      </c>
      <c r="B6">
        <v>-11632000000</v>
      </c>
      <c r="F6" s="1">
        <v>43465</v>
      </c>
      <c r="G6">
        <v>-13427000000</v>
      </c>
      <c r="J6" s="1">
        <v>43465</v>
      </c>
      <c r="K6">
        <v>-25139000000</v>
      </c>
      <c r="N6" s="1">
        <v>43465</v>
      </c>
      <c r="O6">
        <v>-13915000000</v>
      </c>
    </row>
    <row r="7" spans="1:15" x14ac:dyDescent="0.3">
      <c r="A7" s="1">
        <v>43646</v>
      </c>
      <c r="B7">
        <v>-13925000000</v>
      </c>
      <c r="F7" s="1">
        <v>43830</v>
      </c>
      <c r="G7">
        <v>-16861000000</v>
      </c>
      <c r="J7" s="1">
        <v>43830</v>
      </c>
      <c r="K7">
        <v>-23548000000</v>
      </c>
      <c r="N7" s="1">
        <v>43830</v>
      </c>
      <c r="O7">
        <v>-15102000000</v>
      </c>
    </row>
    <row r="8" spans="1:15" x14ac:dyDescent="0.3">
      <c r="A8" s="1">
        <v>44012</v>
      </c>
      <c r="B8">
        <v>-15441000000</v>
      </c>
      <c r="F8" s="1">
        <v>44196</v>
      </c>
      <c r="G8">
        <v>-40140000000</v>
      </c>
      <c r="J8" s="1">
        <v>44196</v>
      </c>
      <c r="K8">
        <v>-22281000000</v>
      </c>
      <c r="N8" s="1">
        <v>44196</v>
      </c>
      <c r="O8">
        <v>-15163000000</v>
      </c>
    </row>
    <row r="9" spans="1:15" x14ac:dyDescent="0.3">
      <c r="A9" s="1">
        <v>44377</v>
      </c>
      <c r="B9">
        <v>-20622000000</v>
      </c>
      <c r="F9" s="1">
        <v>44561</v>
      </c>
      <c r="G9">
        <v>-61053000000</v>
      </c>
      <c r="J9" s="1">
        <v>44561</v>
      </c>
      <c r="K9">
        <v>-24640000000</v>
      </c>
      <c r="N9" s="1">
        <v>44561</v>
      </c>
      <c r="O9">
        <v>-18690000000</v>
      </c>
    </row>
    <row r="10" spans="1:15" x14ac:dyDescent="0.3">
      <c r="A10" s="1">
        <v>44742</v>
      </c>
      <c r="B10">
        <v>-23886000000</v>
      </c>
      <c r="F10" s="1">
        <v>44926</v>
      </c>
      <c r="G10">
        <v>-63645000000</v>
      </c>
      <c r="J10" s="1">
        <v>44926</v>
      </c>
      <c r="K10">
        <v>-31485000000</v>
      </c>
      <c r="N10" s="1">
        <v>44926</v>
      </c>
      <c r="O10">
        <v>-31431000000</v>
      </c>
    </row>
    <row r="11" spans="1:15" x14ac:dyDescent="0.3">
      <c r="A11" s="1">
        <v>45107</v>
      </c>
      <c r="B11">
        <v>-28107000000</v>
      </c>
      <c r="F11" s="1">
        <v>45291</v>
      </c>
      <c r="G11">
        <v>-52729000000</v>
      </c>
      <c r="J11" s="1">
        <v>45291</v>
      </c>
      <c r="K11">
        <v>-32251000000</v>
      </c>
      <c r="N11" s="1">
        <v>45291</v>
      </c>
      <c r="O11">
        <v>-27266000000</v>
      </c>
    </row>
    <row r="12" spans="1:15" x14ac:dyDescent="0.3">
      <c r="A12" s="1">
        <v>45473</v>
      </c>
      <c r="B12">
        <v>-44477000000</v>
      </c>
      <c r="F12" s="1">
        <v>45657</v>
      </c>
      <c r="G12">
        <v>-82999000000</v>
      </c>
      <c r="J12" s="1">
        <v>45657</v>
      </c>
      <c r="K12">
        <v>-52535000000</v>
      </c>
      <c r="N12" s="1">
        <v>45657</v>
      </c>
      <c r="O12">
        <v>-37256000000</v>
      </c>
    </row>
    <row r="13" spans="1:15" x14ac:dyDescent="0.3">
      <c r="A13" s="1">
        <v>45838</v>
      </c>
      <c r="B13">
        <v>-64551000000</v>
      </c>
      <c r="F13" s="1">
        <v>46022</v>
      </c>
      <c r="G13">
        <v>-131819000000</v>
      </c>
      <c r="J13" s="1">
        <v>46022</v>
      </c>
      <c r="K13">
        <v>-91447000000</v>
      </c>
      <c r="N13" s="1">
        <v>46022</v>
      </c>
      <c r="O13">
        <v>-69691000000</v>
      </c>
    </row>
    <row r="14" spans="1:15" x14ac:dyDescent="0.3">
      <c r="A14" s="1">
        <v>46203</v>
      </c>
      <c r="B14">
        <v>-117818694444.44444</v>
      </c>
      <c r="F14" s="1">
        <v>46387</v>
      </c>
      <c r="G14">
        <v>-200768642857.14285</v>
      </c>
      <c r="J14" s="1">
        <v>46387</v>
      </c>
      <c r="K14">
        <v>-186473166666.66666</v>
      </c>
      <c r="N14" s="1">
        <v>46387</v>
      </c>
      <c r="O14">
        <v>-134979976190.4762</v>
      </c>
    </row>
    <row r="15" spans="1:15" x14ac:dyDescent="0.3">
      <c r="A15" s="1">
        <v>46568</v>
      </c>
      <c r="B15">
        <v>-181303166666.66666</v>
      </c>
      <c r="F15" s="1">
        <v>46752</v>
      </c>
      <c r="G15">
        <v>-228015965517.24139</v>
      </c>
      <c r="J15" s="1">
        <v>46752</v>
      </c>
      <c r="K15">
        <v>-240690947368.42105</v>
      </c>
      <c r="N15" s="1">
        <v>46752</v>
      </c>
      <c r="O15">
        <v>-161156975609.7561</v>
      </c>
    </row>
    <row r="16" spans="1:15" x14ac:dyDescent="0.3">
      <c r="A16" s="1">
        <v>46934</v>
      </c>
      <c r="B16">
        <v>-202391333333.33334</v>
      </c>
      <c r="F16" s="1">
        <v>47118</v>
      </c>
      <c r="G16">
        <v>-235112631578.94736</v>
      </c>
      <c r="J16" s="1">
        <v>47118</v>
      </c>
      <c r="K16">
        <v>-254008875000</v>
      </c>
      <c r="N16" s="1">
        <v>47118</v>
      </c>
      <c r="O16">
        <v>-175786931034.48276</v>
      </c>
    </row>
    <row r="17" spans="1:15" x14ac:dyDescent="0.3">
      <c r="A17" s="1">
        <v>47299</v>
      </c>
      <c r="B17">
        <v>-203552250000</v>
      </c>
      <c r="F17" s="1">
        <v>47483</v>
      </c>
      <c r="G17">
        <v>-233016600000</v>
      </c>
      <c r="J17" s="1">
        <v>47483</v>
      </c>
      <c r="K17">
        <v>-263561500000</v>
      </c>
      <c r="N17" s="1">
        <v>47483</v>
      </c>
      <c r="O17">
        <v>-178377380952.38095</v>
      </c>
    </row>
    <row r="18" spans="1:15" x14ac:dyDescent="0.3">
      <c r="A18" s="1">
        <v>47664</v>
      </c>
      <c r="B18">
        <v>-204776363636.36365</v>
      </c>
      <c r="F18" s="1">
        <v>47848</v>
      </c>
      <c r="G18">
        <v>-236116800000</v>
      </c>
      <c r="J18" s="1">
        <v>47848</v>
      </c>
      <c r="K18">
        <v>-273205000000</v>
      </c>
      <c r="N18" s="1">
        <v>47848</v>
      </c>
      <c r="O18">
        <v>-185082150000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KCGI</dc:creator>
  <cp:lastModifiedBy>kcgi</cp:lastModifiedBy>
  <dcterms:created xsi:type="dcterms:W3CDTF">2026-06-01T01:07:05Z</dcterms:created>
  <dcterms:modified xsi:type="dcterms:W3CDTF">2026-06-01T01:54:11Z</dcterms:modified>
</cp:coreProperties>
</file>